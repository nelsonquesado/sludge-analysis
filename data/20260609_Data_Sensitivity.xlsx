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ayumi\Documents\Nelson\ayumi_schobera\data\"/>
    </mc:Choice>
  </mc:AlternateContent>
  <xr:revisionPtr revIDLastSave="0" documentId="13_ncr:1_{21FD1FE8-ADA8-4E50-AD76-51CC61F283C3}" xr6:coauthVersionLast="47" xr6:coauthVersionMax="47" xr10:uidLastSave="{00000000-0000-0000-0000-000000000000}"/>
  <bookViews>
    <workbookView xWindow="-28920" yWindow="-6750" windowWidth="29040" windowHeight="15720" xr2:uid="{16BD5622-7D6D-4B07-9D47-0D4F7ABF206F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8" i="1"/>
  <c r="E7" i="1"/>
  <c r="E6" i="1"/>
  <c r="E5" i="1"/>
  <c r="E4" i="1"/>
  <c r="E3" i="1"/>
  <c r="F6" i="1" l="1"/>
  <c r="F4" i="1"/>
  <c r="F14" i="1" l="1"/>
  <c r="F26" i="1"/>
  <c r="F19" i="1"/>
  <c r="F22" i="1"/>
  <c r="F10" i="1"/>
  <c r="F17" i="1"/>
  <c r="F23" i="1"/>
  <c r="F21" i="1"/>
  <c r="F20" i="1"/>
  <c r="F12" i="1"/>
  <c r="F16" i="1"/>
  <c r="F13" i="1"/>
  <c r="F5" i="1"/>
  <c r="F15" i="1"/>
  <c r="F24" i="1"/>
  <c r="F25" i="1"/>
  <c r="F11" i="1"/>
  <c r="F18" i="1"/>
  <c r="F3" i="1"/>
  <c r="F9" i="1"/>
  <c r="F8" i="1"/>
  <c r="D8" i="1"/>
  <c r="D3" i="1"/>
  <c r="D6" i="1"/>
  <c r="D4" i="1"/>
  <c r="D7" i="1"/>
  <c r="D5" i="1" l="1"/>
  <c r="E23" i="1" l="1"/>
  <c r="D21" i="1"/>
  <c r="E13" i="1"/>
  <c r="E15" i="1"/>
  <c r="E24" i="1"/>
  <c r="E9" i="1"/>
  <c r="E11" i="1"/>
  <c r="E21" i="1"/>
  <c r="E12" i="1"/>
  <c r="D26" i="1"/>
  <c r="D17" i="1"/>
  <c r="E20" i="1"/>
  <c r="D16" i="1"/>
  <c r="D25" i="1"/>
  <c r="E25" i="1"/>
  <c r="D14" i="1"/>
  <c r="D20" i="1"/>
  <c r="E16" i="1"/>
  <c r="E10" i="1"/>
  <c r="E19" i="1"/>
  <c r="D15" i="1"/>
  <c r="E18" i="1"/>
  <c r="D22" i="1"/>
  <c r="D23" i="1"/>
  <c r="E22" i="1"/>
  <c r="E17" i="1"/>
  <c r="E26" i="1"/>
  <c r="D19" i="1"/>
  <c r="D24" i="1"/>
  <c r="E14" i="1"/>
  <c r="D18" i="1"/>
  <c r="D10" i="1"/>
  <c r="D9" i="1"/>
  <c r="D11" i="1"/>
  <c r="D12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Ayumi Schober</author>
  </authors>
  <commentList>
    <comment ref="A3" authorId="0" shapeId="0" xr:uid="{AF41ACFC-CFA0-4C99-B173-F14BB312D8CB}">
      <text>
        <r>
          <rPr>
            <b/>
            <sz val="9"/>
            <color indexed="81"/>
            <rFont val="Tahoma"/>
            <charset val="1"/>
          </rPr>
          <t>Ayumi Schober:</t>
        </r>
        <r>
          <rPr>
            <sz val="9"/>
            <color indexed="81"/>
            <rFont val="Tahoma"/>
            <charset val="1"/>
          </rPr>
          <t xml:space="preserve">
Samples from NormConf3 experiments, using 900rpm and 190°C runs</t>
        </r>
      </text>
    </comment>
  </commentList>
</comments>
</file>

<file path=xl/sharedStrings.xml><?xml version="1.0" encoding="utf-8"?>
<sst xmlns="http://schemas.openxmlformats.org/spreadsheetml/2006/main" count="103" uniqueCount="45">
  <si>
    <t>WWTP</t>
  </si>
  <si>
    <t>Day</t>
  </si>
  <si>
    <t>Time</t>
  </si>
  <si>
    <t>DM_i</t>
  </si>
  <si>
    <t>LOI_i</t>
  </si>
  <si>
    <t>D90_i</t>
  </si>
  <si>
    <t>VM</t>
  </si>
  <si>
    <t>Ash</t>
  </si>
  <si>
    <t>FC</t>
  </si>
  <si>
    <t>C</t>
  </si>
  <si>
    <t>H</t>
  </si>
  <si>
    <t>N</t>
  </si>
  <si>
    <t>S</t>
  </si>
  <si>
    <t>Cl</t>
  </si>
  <si>
    <t>O</t>
  </si>
  <si>
    <t>Al</t>
  </si>
  <si>
    <t>Ca</t>
  </si>
  <si>
    <t>Fe</t>
  </si>
  <si>
    <t>P</t>
  </si>
  <si>
    <t>Si</t>
  </si>
  <si>
    <t>To</t>
  </si>
  <si>
    <t>eta0.1</t>
  </si>
  <si>
    <t>tau0</t>
  </si>
  <si>
    <t>Pull_off_Force</t>
  </si>
  <si>
    <t>Separation_Work</t>
  </si>
  <si>
    <t>D90</t>
  </si>
  <si>
    <t>DM</t>
  </si>
  <si>
    <t>LOI</t>
  </si>
  <si>
    <t>d</t>
  </si>
  <si>
    <t>s</t>
  </si>
  <si>
    <t>%os</t>
  </si>
  <si>
    <t>%wf</t>
  </si>
  <si>
    <t>µm</t>
  </si>
  <si>
    <t>Nm</t>
  </si>
  <si>
    <t>Pa·s</t>
  </si>
  <si>
    <t>Pa</t>
  </si>
  <si>
    <t>mJ</t>
  </si>
  <si>
    <t>KA-1</t>
  </si>
  <si>
    <t>-1.96 </t>
  </si>
  <si>
    <t>KA-2</t>
  </si>
  <si>
    <t>-2.49 </t>
  </si>
  <si>
    <t>KA-3</t>
  </si>
  <si>
    <t>-3.60 </t>
  </si>
  <si>
    <t>KA-4</t>
  </si>
  <si>
    <t>-5.51 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</si>
</sst>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/>
    <xf numFmtId="2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vt-cifs.tik.uni-stuttgart.de\shared\Schober\Promotion\Articles\Sensitivity%20Analysis\20260522_Logbook_Dryer-Grinder_v2_sensitivity_VS_DM_PSD_Torque_LOI.xlsx" TargetMode="External"/><Relationship Id="rId1" Type="http://schemas.openxmlformats.org/officeDocument/2006/relationships/externalLinkPath" Target="file:///\\svt-cifs.tik.uni-stuttgart.de\shared\Schober\Promotion\Articles\Sensitivity%20Analysis\20260522_Logbook_Dryer-Grinder_v2_sensitivity_VS_DM_PSD_Torque_L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E"/>
      <sheetName val="Log"/>
      <sheetName val="Tabea"/>
      <sheetName val="PumpCurve"/>
      <sheetName val="TS (getrck KS)"/>
      <sheetName val="GV (getrck KS)"/>
      <sheetName val="TS (entw KS)"/>
      <sheetName val="GV (entw KS)"/>
      <sheetName val="PD_Overview"/>
      <sheetName val="PD_Exp"/>
      <sheetName val="PSD_LD"/>
      <sheetName val="Results"/>
      <sheetName val="Torque"/>
      <sheetName val="And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9">
          <cell r="X59">
            <v>21.794676036579144</v>
          </cell>
          <cell r="AM59">
            <v>58.98</v>
          </cell>
          <cell r="BJ59">
            <v>168</v>
          </cell>
        </row>
        <row r="63">
          <cell r="X63">
            <v>22.360772203284494</v>
          </cell>
          <cell r="AM63">
            <v>58.78</v>
          </cell>
          <cell r="BJ63">
            <v>157</v>
          </cell>
        </row>
        <row r="78">
          <cell r="X78">
            <v>21.11580367308586</v>
          </cell>
          <cell r="AM78">
            <v>59.2</v>
          </cell>
          <cell r="BJ78">
            <v>203.33333333333334</v>
          </cell>
        </row>
        <row r="81">
          <cell r="X81">
            <v>20.37336993447509</v>
          </cell>
          <cell r="AM81">
            <v>59.94</v>
          </cell>
          <cell r="BJ81">
            <v>221</v>
          </cell>
        </row>
        <row r="84">
          <cell r="X84">
            <v>21.618015018656369</v>
          </cell>
          <cell r="AM84">
            <v>59</v>
          </cell>
          <cell r="BJ84">
            <v>166.5</v>
          </cell>
        </row>
        <row r="90">
          <cell r="X90">
            <v>21.834636138959894</v>
          </cell>
          <cell r="AM90">
            <v>58.26</v>
          </cell>
          <cell r="BJ90">
            <v>207.66666666666666</v>
          </cell>
        </row>
        <row r="151">
          <cell r="X151">
            <v>27.31371499663906</v>
          </cell>
          <cell r="AM151">
            <v>50.129730553450194</v>
          </cell>
          <cell r="BJ151">
            <v>181.66666666666666</v>
          </cell>
        </row>
        <row r="152">
          <cell r="X152">
            <v>26.660717012564191</v>
          </cell>
          <cell r="AM152">
            <v>47.626393983769795</v>
          </cell>
          <cell r="BJ152">
            <v>138.66666666666666</v>
          </cell>
        </row>
        <row r="153">
          <cell r="X153">
            <v>26.827052283684708</v>
          </cell>
          <cell r="AM153">
            <v>49.872286079182622</v>
          </cell>
          <cell r="BJ153">
            <v>182</v>
          </cell>
        </row>
        <row r="155">
          <cell r="X155">
            <v>26.07496802618752</v>
          </cell>
          <cell r="AM155">
            <v>50.11780777037783</v>
          </cell>
          <cell r="BJ155">
            <v>226</v>
          </cell>
        </row>
        <row r="157">
          <cell r="X157">
            <v>25.956389299937513</v>
          </cell>
          <cell r="AM157">
            <v>49.381596896810002</v>
          </cell>
          <cell r="BJ157">
            <v>464</v>
          </cell>
        </row>
        <row r="158">
          <cell r="X158">
            <v>25.605649924017964</v>
          </cell>
          <cell r="AM158">
            <v>48.948557290467214</v>
          </cell>
          <cell r="BJ158">
            <v>163.66666666666666</v>
          </cell>
        </row>
        <row r="159">
          <cell r="X159">
            <v>26.228667599644325</v>
          </cell>
          <cell r="AM159">
            <v>53.548575041983277</v>
          </cell>
          <cell r="BJ159">
            <v>218</v>
          </cell>
        </row>
        <row r="160">
          <cell r="X160">
            <v>26.295320017350321</v>
          </cell>
          <cell r="AM160">
            <v>55.635823996039107</v>
          </cell>
          <cell r="BJ160">
            <v>237.33333333333334</v>
          </cell>
        </row>
        <row r="161">
          <cell r="X161">
            <v>26.305967672595063</v>
          </cell>
          <cell r="AM161">
            <v>54.17713578845197</v>
          </cell>
          <cell r="BJ161">
            <v>285.25</v>
          </cell>
        </row>
        <row r="162">
          <cell r="X162">
            <v>26.21040719019312</v>
          </cell>
          <cell r="AM162">
            <v>54.776732828162039</v>
          </cell>
          <cell r="BJ162">
            <v>262.33333333333331</v>
          </cell>
        </row>
        <row r="163">
          <cell r="X163">
            <v>25.956489726269425</v>
          </cell>
          <cell r="AM163">
            <v>56.100146198830402</v>
          </cell>
          <cell r="BJ163">
            <v>267</v>
          </cell>
        </row>
        <row r="164">
          <cell r="X164">
            <v>26.16780222616406</v>
          </cell>
          <cell r="AM164">
            <v>53.991319452811183</v>
          </cell>
          <cell r="BJ164">
            <v>263.5</v>
          </cell>
        </row>
        <row r="165">
          <cell r="X165">
            <v>27.048190705223565</v>
          </cell>
          <cell r="AM165">
            <v>75.781313919352641</v>
          </cell>
          <cell r="BJ165">
            <v>169</v>
          </cell>
        </row>
        <row r="166">
          <cell r="X166">
            <v>27.058169851408508</v>
          </cell>
          <cell r="AM166">
            <v>76.319997040790113</v>
          </cell>
          <cell r="BJ166">
            <v>171.33333333333334</v>
          </cell>
        </row>
        <row r="167">
          <cell r="X167">
            <v>26.558211763598219</v>
          </cell>
          <cell r="AM167">
            <v>75.488410575941018</v>
          </cell>
          <cell r="BJ167">
            <v>169.25</v>
          </cell>
        </row>
        <row r="168">
          <cell r="X168">
            <v>26.973340860473993</v>
          </cell>
          <cell r="AM168">
            <v>76.229039482512789</v>
          </cell>
          <cell r="BJ168">
            <v>174.66666666666666</v>
          </cell>
        </row>
        <row r="169">
          <cell r="X169">
            <v>25.481253357049809</v>
          </cell>
          <cell r="AM169">
            <v>74.919088980621439</v>
          </cell>
          <cell r="BJ169">
            <v>146.25</v>
          </cell>
        </row>
        <row r="170">
          <cell r="X170">
            <v>25.587971467825156</v>
          </cell>
          <cell r="AM170">
            <v>75.03515307566586</v>
          </cell>
          <cell r="BJ170">
            <v>160.25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4BCD-52D4-4D1B-AEB1-A0E45F12EC6B}">
  <dimension ref="A1:AB27"/>
  <sheetViews>
    <sheetView tabSelected="1" workbookViewId="0">
      <selection activeCell="Q10" sqref="Q10"/>
    </sheetView>
  </sheetViews>
  <sheetFormatPr defaultRowHeight="14.45"/>
  <cols>
    <col min="22" max="22" width="12.7109375" bestFit="1" customWidth="1"/>
    <col min="23" max="23" width="9.28515625" bestFit="1" customWidth="1"/>
  </cols>
  <sheetData>
    <row r="1" spans="1:28" ht="13.9" customHeight="1" thickBot="1">
      <c r="A1" s="1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2" t="s">
        <v>25</v>
      </c>
      <c r="AA1" s="3" t="s">
        <v>26</v>
      </c>
      <c r="AB1" s="3" t="s">
        <v>27</v>
      </c>
    </row>
    <row r="2" spans="1:28" ht="13.9" customHeight="1" thickBot="1">
      <c r="A2" s="1"/>
      <c r="B2" s="4" t="s">
        <v>28</v>
      </c>
      <c r="C2" s="4" t="s">
        <v>29</v>
      </c>
      <c r="D2" s="9" t="s">
        <v>30</v>
      </c>
      <c r="E2" s="9" t="s">
        <v>31</v>
      </c>
      <c r="F2" s="9" t="s">
        <v>32</v>
      </c>
      <c r="G2" s="9" t="s">
        <v>31</v>
      </c>
      <c r="H2" s="9" t="s">
        <v>31</v>
      </c>
      <c r="I2" s="9" t="s">
        <v>31</v>
      </c>
      <c r="J2" s="9" t="s">
        <v>31</v>
      </c>
      <c r="K2" s="9" t="s">
        <v>31</v>
      </c>
      <c r="L2" s="9" t="s">
        <v>31</v>
      </c>
      <c r="M2" s="9" t="s">
        <v>31</v>
      </c>
      <c r="N2" s="9" t="s">
        <v>31</v>
      </c>
      <c r="O2" s="9" t="s">
        <v>31</v>
      </c>
      <c r="P2" s="9" t="s">
        <v>31</v>
      </c>
      <c r="Q2" s="9" t="s">
        <v>31</v>
      </c>
      <c r="R2" s="9" t="s">
        <v>31</v>
      </c>
      <c r="S2" s="9" t="s">
        <v>31</v>
      </c>
      <c r="T2" s="9" t="s">
        <v>31</v>
      </c>
      <c r="U2" s="9" t="s">
        <v>33</v>
      </c>
      <c r="V2" s="10" t="s">
        <v>34</v>
      </c>
      <c r="W2" s="10" t="s">
        <v>35</v>
      </c>
      <c r="X2" s="10" t="s">
        <v>11</v>
      </c>
      <c r="Y2" s="10" t="s">
        <v>36</v>
      </c>
      <c r="Z2" s="9" t="s">
        <v>32</v>
      </c>
      <c r="AA2" s="9" t="s">
        <v>30</v>
      </c>
      <c r="AB2" s="9" t="s">
        <v>31</v>
      </c>
    </row>
    <row r="3" spans="1:28" ht="13.9" customHeight="1">
      <c r="A3" s="5" t="s">
        <v>37</v>
      </c>
      <c r="B3" s="4">
        <v>1</v>
      </c>
      <c r="C3" s="4">
        <v>60</v>
      </c>
      <c r="D3" s="6">
        <f>[1]Results!$X$59</f>
        <v>21.794676036579144</v>
      </c>
      <c r="E3" s="6">
        <f>[1]Results!$AM$59</f>
        <v>58.98</v>
      </c>
      <c r="F3" s="6">
        <f>[1]Results!$BJ$59</f>
        <v>168</v>
      </c>
      <c r="G3" s="7">
        <v>52.020808323329334</v>
      </c>
      <c r="H3" s="6">
        <v>40.016006402561025</v>
      </c>
      <c r="I3" s="7">
        <v>7.9631852741096374</v>
      </c>
      <c r="J3" s="7">
        <v>28.911564625850342</v>
      </c>
      <c r="K3" s="7">
        <v>4.4873189275710281</v>
      </c>
      <c r="L3" s="7">
        <v>4.0516206482593038</v>
      </c>
      <c r="M3" s="7">
        <v>1.1104441776710687</v>
      </c>
      <c r="N3" s="7">
        <v>4.9019607843137261E-2</v>
      </c>
      <c r="O3" s="7">
        <v>21.374025610244097</v>
      </c>
      <c r="P3" s="7">
        <v>5.3597883597883609</v>
      </c>
      <c r="Q3" s="7">
        <v>3.0571428571428574</v>
      </c>
      <c r="R3" s="7">
        <v>1.9370629370629371</v>
      </c>
      <c r="S3" s="7">
        <v>3.3318777292576418</v>
      </c>
      <c r="T3" s="7">
        <v>4.5700934579439245</v>
      </c>
      <c r="U3" s="7">
        <v>19.100000000000001</v>
      </c>
      <c r="V3" s="7">
        <v>7666.5333333333328</v>
      </c>
      <c r="W3" s="5">
        <v>741.15409999999997</v>
      </c>
      <c r="X3" s="5" t="s">
        <v>38</v>
      </c>
      <c r="Y3" s="5">
        <v>3.35</v>
      </c>
      <c r="Z3" s="5">
        <v>1052.04</v>
      </c>
      <c r="AA3" s="5">
        <v>98.356666666666669</v>
      </c>
      <c r="AB3" s="5">
        <v>58.833333333333336</v>
      </c>
    </row>
    <row r="4" spans="1:28">
      <c r="A4" s="5" t="s">
        <v>37</v>
      </c>
      <c r="B4" s="5">
        <v>1</v>
      </c>
      <c r="C4" s="5">
        <v>90</v>
      </c>
      <c r="D4" s="6">
        <f>[1]Results!$X$63</f>
        <v>22.360772203284494</v>
      </c>
      <c r="E4" s="6">
        <f>[1]Results!$AM$63</f>
        <v>58.78</v>
      </c>
      <c r="F4" s="6">
        <f>[1]Results!$BJ$63</f>
        <v>157</v>
      </c>
      <c r="G4" s="7">
        <v>52.020808323329334</v>
      </c>
      <c r="H4" s="6">
        <v>40.016006402561025</v>
      </c>
      <c r="I4" s="7">
        <v>7.9631852741096374</v>
      </c>
      <c r="J4" s="7">
        <v>28.911564625850342</v>
      </c>
      <c r="K4" s="7">
        <v>4.4873189275710281</v>
      </c>
      <c r="L4" s="7">
        <v>4.0516206482593038</v>
      </c>
      <c r="M4" s="7">
        <v>1.1104441776710687</v>
      </c>
      <c r="N4" s="7">
        <v>4.9019607843137261E-2</v>
      </c>
      <c r="O4" s="7">
        <v>21.374025610244097</v>
      </c>
      <c r="P4" s="7">
        <v>5.3597883597883609</v>
      </c>
      <c r="Q4" s="7">
        <v>3.0571428571428574</v>
      </c>
      <c r="R4" s="7">
        <v>1.9370629370629371</v>
      </c>
      <c r="S4" s="7">
        <v>3.3318777292576418</v>
      </c>
      <c r="T4" s="7">
        <v>4.5700934579439245</v>
      </c>
      <c r="U4" s="7">
        <v>18.899999999999999</v>
      </c>
      <c r="V4" s="7">
        <v>7666.5333333333328</v>
      </c>
      <c r="W4" s="5">
        <v>741.15409999999997</v>
      </c>
      <c r="X4" s="5" t="s">
        <v>38</v>
      </c>
      <c r="Y4" s="5">
        <v>3.35</v>
      </c>
      <c r="Z4" s="5">
        <v>1066.81</v>
      </c>
      <c r="AA4" s="5">
        <v>98.263333333333321</v>
      </c>
      <c r="AB4" s="5">
        <v>59.266666666666673</v>
      </c>
    </row>
    <row r="5" spans="1:28">
      <c r="A5" s="5" t="s">
        <v>37</v>
      </c>
      <c r="B5" s="5">
        <v>2</v>
      </c>
      <c r="C5" s="4">
        <v>60</v>
      </c>
      <c r="D5" s="6">
        <f>[1]Results!$X$78</f>
        <v>21.11580367308586</v>
      </c>
      <c r="E5" s="6">
        <f>[1]Results!$AM$78</f>
        <v>59.2</v>
      </c>
      <c r="F5" s="6">
        <f>[1]Results!$BJ$78</f>
        <v>203.33333333333334</v>
      </c>
      <c r="G5" s="7">
        <v>52.020808323329334</v>
      </c>
      <c r="H5" s="6">
        <v>40.016006402561025</v>
      </c>
      <c r="I5" s="7">
        <v>7.9631852741096374</v>
      </c>
      <c r="J5" s="7">
        <v>28.911564625850342</v>
      </c>
      <c r="K5" s="7">
        <v>4.4873189275710281</v>
      </c>
      <c r="L5" s="7">
        <v>4.0516206482593038</v>
      </c>
      <c r="M5" s="7">
        <v>1.1104441776710687</v>
      </c>
      <c r="N5" s="7">
        <v>4.9019607843137261E-2</v>
      </c>
      <c r="O5" s="7">
        <v>21.374025610244097</v>
      </c>
      <c r="P5" s="7">
        <v>5.3597883597883609</v>
      </c>
      <c r="Q5" s="7">
        <v>3.0571428571428574</v>
      </c>
      <c r="R5" s="7">
        <v>1.9370629370629371</v>
      </c>
      <c r="S5" s="7">
        <v>3.3318777292576418</v>
      </c>
      <c r="T5" s="7">
        <v>4.5700934579439245</v>
      </c>
      <c r="U5" s="7">
        <v>18.2</v>
      </c>
      <c r="V5" s="7">
        <v>7666.5333333333328</v>
      </c>
      <c r="W5" s="5">
        <v>741.15409999999997</v>
      </c>
      <c r="X5" s="5" t="s">
        <v>38</v>
      </c>
      <c r="Y5" s="5">
        <v>3.35</v>
      </c>
      <c r="Z5" s="5">
        <v>1125.1300000000001</v>
      </c>
      <c r="AA5" s="5">
        <v>98.878971991621896</v>
      </c>
      <c r="AB5" s="5">
        <v>59.072625404028351</v>
      </c>
    </row>
    <row r="6" spans="1:28">
      <c r="A6" s="5" t="s">
        <v>37</v>
      </c>
      <c r="B6" s="5">
        <v>2</v>
      </c>
      <c r="C6" s="5">
        <v>90</v>
      </c>
      <c r="D6" s="6">
        <f>[1]Results!$X$81</f>
        <v>20.37336993447509</v>
      </c>
      <c r="E6" s="6">
        <f>[1]Results!$AM$81</f>
        <v>59.94</v>
      </c>
      <c r="F6" s="6">
        <f>[1]Results!$BJ$81</f>
        <v>221</v>
      </c>
      <c r="G6" s="7">
        <v>52.020808323329334</v>
      </c>
      <c r="H6" s="6">
        <v>40.016006402561025</v>
      </c>
      <c r="I6" s="7">
        <v>7.9631852741096374</v>
      </c>
      <c r="J6" s="7">
        <v>28.911564625850342</v>
      </c>
      <c r="K6" s="7">
        <v>4.4873189275710281</v>
      </c>
      <c r="L6" s="7">
        <v>4.0516206482593038</v>
      </c>
      <c r="M6" s="7">
        <v>1.1104441776710687</v>
      </c>
      <c r="N6" s="7">
        <v>4.9019607843137261E-2</v>
      </c>
      <c r="O6" s="7">
        <v>21.374025610244097</v>
      </c>
      <c r="P6" s="7">
        <v>5.3597883597883609</v>
      </c>
      <c r="Q6" s="7">
        <v>3.0571428571428574</v>
      </c>
      <c r="R6" s="7">
        <v>1.9370629370629371</v>
      </c>
      <c r="S6" s="7">
        <v>3.3318777292576418</v>
      </c>
      <c r="T6" s="7">
        <v>4.5700934579439245</v>
      </c>
      <c r="U6" s="7">
        <v>18.2</v>
      </c>
      <c r="V6" s="7">
        <v>7666.5333333333328</v>
      </c>
      <c r="W6" s="5">
        <v>741.15409999999997</v>
      </c>
      <c r="X6" s="5" t="s">
        <v>38</v>
      </c>
      <c r="Y6" s="5">
        <v>3.35</v>
      </c>
      <c r="Z6" s="5">
        <v>1167.97</v>
      </c>
      <c r="AA6" s="5">
        <v>98.803395590160676</v>
      </c>
      <c r="AB6" s="5">
        <v>59.1681954669113</v>
      </c>
    </row>
    <row r="7" spans="1:28">
      <c r="A7" s="5" t="s">
        <v>37</v>
      </c>
      <c r="B7" s="5">
        <v>3</v>
      </c>
      <c r="C7" s="4">
        <v>60</v>
      </c>
      <c r="D7" s="6">
        <f>[1]Results!$X$84</f>
        <v>21.618015018656369</v>
      </c>
      <c r="E7" s="6">
        <f>[1]Results!$AM$84</f>
        <v>59</v>
      </c>
      <c r="F7" s="6">
        <f>[1]Results!$BJ$84</f>
        <v>166.5</v>
      </c>
      <c r="G7" s="7">
        <v>52.020808323329334</v>
      </c>
      <c r="H7" s="6">
        <v>40.016006402561025</v>
      </c>
      <c r="I7" s="7">
        <v>7.9631852741096374</v>
      </c>
      <c r="J7" s="7">
        <v>28.911564625850342</v>
      </c>
      <c r="K7" s="7">
        <v>4.4873189275710281</v>
      </c>
      <c r="L7" s="7">
        <v>4.0516206482593038</v>
      </c>
      <c r="M7" s="7">
        <v>1.1104441776710687</v>
      </c>
      <c r="N7" s="7">
        <v>4.9019607843137261E-2</v>
      </c>
      <c r="O7" s="7">
        <v>21.374025610244097</v>
      </c>
      <c r="P7" s="7">
        <v>5.3597883597883609</v>
      </c>
      <c r="Q7" s="7">
        <v>3.0571428571428574</v>
      </c>
      <c r="R7" s="7">
        <v>1.9370629370629371</v>
      </c>
      <c r="S7" s="7">
        <v>3.3318777292576418</v>
      </c>
      <c r="T7" s="7">
        <v>4.5700934579439245</v>
      </c>
      <c r="U7" s="7">
        <v>18.7</v>
      </c>
      <c r="V7" s="7">
        <v>7666.5333333333328</v>
      </c>
      <c r="W7" s="5">
        <v>741.15409999999997</v>
      </c>
      <c r="X7" s="5" t="s">
        <v>38</v>
      </c>
      <c r="Y7" s="5">
        <v>3.35</v>
      </c>
      <c r="Z7" s="5">
        <v>1070.47</v>
      </c>
      <c r="AA7" s="5">
        <v>99.408907208800386</v>
      </c>
      <c r="AB7" s="5">
        <v>57.45796960795672</v>
      </c>
    </row>
    <row r="8" spans="1:28">
      <c r="A8" s="5" t="s">
        <v>37</v>
      </c>
      <c r="B8" s="5">
        <v>3</v>
      </c>
      <c r="C8" s="5">
        <v>90</v>
      </c>
      <c r="D8" s="6">
        <f>[1]Results!$X$90</f>
        <v>21.834636138959894</v>
      </c>
      <c r="E8" s="6">
        <f>[1]Results!$AM$90</f>
        <v>58.26</v>
      </c>
      <c r="F8" s="6">
        <f>[1]Results!$BJ$90</f>
        <v>207.66666666666666</v>
      </c>
      <c r="G8" s="7">
        <v>52.020808323329334</v>
      </c>
      <c r="H8" s="6">
        <v>40.016006402561025</v>
      </c>
      <c r="I8" s="7">
        <v>7.9631852741096374</v>
      </c>
      <c r="J8" s="7">
        <v>28.911564625850342</v>
      </c>
      <c r="K8" s="7">
        <v>4.4873189275710281</v>
      </c>
      <c r="L8" s="7">
        <v>4.0516206482593038</v>
      </c>
      <c r="M8" s="7">
        <v>1.1104441776710687</v>
      </c>
      <c r="N8" s="7">
        <v>4.9019607843137261E-2</v>
      </c>
      <c r="O8" s="7">
        <v>21.374025610244097</v>
      </c>
      <c r="P8" s="7">
        <v>5.3597883597883609</v>
      </c>
      <c r="Q8" s="7">
        <v>3.0571428571428574</v>
      </c>
      <c r="R8" s="7">
        <v>1.9370629370629371</v>
      </c>
      <c r="S8" s="7">
        <v>3.3318777292576418</v>
      </c>
      <c r="T8" s="7">
        <v>4.5700934579439245</v>
      </c>
      <c r="U8" s="7">
        <v>18.600000000000001</v>
      </c>
      <c r="V8" s="7">
        <v>7666.5333333333328</v>
      </c>
      <c r="W8" s="5">
        <v>741.15409999999997</v>
      </c>
      <c r="X8" s="5" t="s">
        <v>38</v>
      </c>
      <c r="Y8" s="5">
        <v>3.35</v>
      </c>
      <c r="Z8" s="5">
        <v>1072.3900000000001</v>
      </c>
      <c r="AA8" s="5">
        <v>99.466460778820462</v>
      </c>
      <c r="AB8" s="5">
        <v>57.352996566653765</v>
      </c>
    </row>
    <row r="9" spans="1:28" ht="13.9" customHeight="1">
      <c r="A9" s="5" t="s">
        <v>39</v>
      </c>
      <c r="B9" s="4">
        <v>1</v>
      </c>
      <c r="C9" s="4">
        <v>60</v>
      </c>
      <c r="D9" s="6">
        <f>[1]Results!$X$151</f>
        <v>27.31371499663906</v>
      </c>
      <c r="E9" s="6">
        <f>[1]Results!$AM$151</f>
        <v>50.129730553450194</v>
      </c>
      <c r="F9" s="6">
        <f>[1]Results!$BJ$151</f>
        <v>181.66666666666666</v>
      </c>
      <c r="G9" s="7">
        <v>47.74644988680798</v>
      </c>
      <c r="H9" s="6">
        <v>47.643548055155378</v>
      </c>
      <c r="I9" s="7">
        <v>4.6100020580366445</v>
      </c>
      <c r="J9" s="7">
        <v>26.034163408108661</v>
      </c>
      <c r="K9" s="7">
        <v>3.6987466556904707</v>
      </c>
      <c r="L9" s="7">
        <v>3.2311175138917472</v>
      </c>
      <c r="M9" s="7">
        <v>0.83350483638608763</v>
      </c>
      <c r="N9" s="7">
        <v>4.1160732661041366E-2</v>
      </c>
      <c r="O9" s="7">
        <v>18.517758798106609</v>
      </c>
      <c r="P9" s="7">
        <v>2.925925925925926</v>
      </c>
      <c r="Q9" s="7">
        <v>4.6214285714285719</v>
      </c>
      <c r="R9" s="7">
        <v>3.6993006993006996</v>
      </c>
      <c r="S9" s="7">
        <v>2.5327510917030565</v>
      </c>
      <c r="T9" s="7">
        <v>5.7476635514018692</v>
      </c>
      <c r="U9" s="7">
        <v>18.3</v>
      </c>
      <c r="V9" s="7">
        <v>16015.333333333334</v>
      </c>
      <c r="W9" s="5">
        <v>1578.9529</v>
      </c>
      <c r="X9" s="5" t="s">
        <v>40</v>
      </c>
      <c r="Y9" s="5">
        <v>2.69</v>
      </c>
      <c r="Z9" s="5">
        <v>1004.39</v>
      </c>
      <c r="AA9" s="5">
        <v>100.2123486846554</v>
      </c>
      <c r="AB9" s="5">
        <v>48.28754549362651</v>
      </c>
    </row>
    <row r="10" spans="1:28">
      <c r="A10" s="5" t="s">
        <v>39</v>
      </c>
      <c r="B10" s="5">
        <v>1</v>
      </c>
      <c r="C10" s="5">
        <v>90</v>
      </c>
      <c r="D10" s="6">
        <f>[1]Results!$X$152</f>
        <v>26.660717012564191</v>
      </c>
      <c r="E10" s="6">
        <f>[1]Results!$AM$152</f>
        <v>47.626393983769795</v>
      </c>
      <c r="F10" s="6">
        <f>[1]Results!$BJ$152</f>
        <v>138.66666666666666</v>
      </c>
      <c r="G10" s="7">
        <v>47.74644988680798</v>
      </c>
      <c r="H10" s="6">
        <v>47.643548055155378</v>
      </c>
      <c r="I10" s="7">
        <v>4.6100020580366445</v>
      </c>
      <c r="J10" s="7">
        <v>26.034163408108661</v>
      </c>
      <c r="K10" s="7">
        <v>3.6987466556904707</v>
      </c>
      <c r="L10" s="7">
        <v>3.2311175138917472</v>
      </c>
      <c r="M10" s="7">
        <v>0.83350483638608763</v>
      </c>
      <c r="N10" s="7">
        <v>4.1160732661041366E-2</v>
      </c>
      <c r="O10" s="7">
        <v>18.517758798106609</v>
      </c>
      <c r="P10" s="7">
        <v>2.925925925925926</v>
      </c>
      <c r="Q10" s="7">
        <v>4.6214285714285719</v>
      </c>
      <c r="R10" s="7">
        <v>3.6993006993006996</v>
      </c>
      <c r="S10" s="7">
        <v>2.5327510917030565</v>
      </c>
      <c r="T10" s="7">
        <v>5.7476635514018692</v>
      </c>
      <c r="U10" s="7">
        <v>18.3</v>
      </c>
      <c r="V10" s="7">
        <v>16015.333333333334</v>
      </c>
      <c r="W10" s="5">
        <v>1578.9529</v>
      </c>
      <c r="X10" s="5" t="s">
        <v>40</v>
      </c>
      <c r="Y10" s="5">
        <v>2.69</v>
      </c>
      <c r="Z10" s="5">
        <v>1030.3800000000001</v>
      </c>
      <c r="AA10" s="5">
        <v>100.19608521632809</v>
      </c>
      <c r="AB10" s="5">
        <v>48.637137407712515</v>
      </c>
    </row>
    <row r="11" spans="1:28">
      <c r="A11" s="5" t="s">
        <v>39</v>
      </c>
      <c r="B11" s="5">
        <v>2</v>
      </c>
      <c r="C11" s="4">
        <v>60</v>
      </c>
      <c r="D11" s="6">
        <f>[1]Results!$X$153</f>
        <v>26.827052283684708</v>
      </c>
      <c r="E11" s="6">
        <f>[1]Results!$AM$153</f>
        <v>49.872286079182622</v>
      </c>
      <c r="F11" s="6">
        <f>[1]Results!$BJ$153</f>
        <v>182</v>
      </c>
      <c r="G11" s="7">
        <v>47.74644988680798</v>
      </c>
      <c r="H11" s="6">
        <v>47.643548055155378</v>
      </c>
      <c r="I11" s="7">
        <v>4.6100020580366445</v>
      </c>
      <c r="J11" s="7">
        <v>26.034163408108661</v>
      </c>
      <c r="K11" s="7">
        <v>3.6987466556904707</v>
      </c>
      <c r="L11" s="7">
        <v>3.2311175138917472</v>
      </c>
      <c r="M11" s="7">
        <v>0.83350483638608763</v>
      </c>
      <c r="N11" s="7">
        <v>4.1160732661041366E-2</v>
      </c>
      <c r="O11" s="7">
        <v>18.517758798106609</v>
      </c>
      <c r="P11" s="7">
        <v>2.925925925925926</v>
      </c>
      <c r="Q11" s="7">
        <v>4.6214285714285719</v>
      </c>
      <c r="R11" s="7">
        <v>3.6993006993006996</v>
      </c>
      <c r="S11" s="7">
        <v>2.5327510917030565</v>
      </c>
      <c r="T11" s="7">
        <v>5.7476635514018692</v>
      </c>
      <c r="U11" s="7">
        <v>19.100000000000001</v>
      </c>
      <c r="V11" s="7">
        <v>16015.333333333334</v>
      </c>
      <c r="W11" s="5">
        <v>1578.9529</v>
      </c>
      <c r="X11" s="5" t="s">
        <v>40</v>
      </c>
      <c r="Y11" s="5">
        <v>2.69</v>
      </c>
      <c r="Z11" s="5">
        <v>1021.57</v>
      </c>
      <c r="AA11" s="5">
        <v>99.643190609577118</v>
      </c>
      <c r="AB11" s="5">
        <v>48.791337382886617</v>
      </c>
    </row>
    <row r="12" spans="1:28">
      <c r="A12" s="5" t="s">
        <v>39</v>
      </c>
      <c r="B12" s="5">
        <v>2</v>
      </c>
      <c r="C12" s="5">
        <v>90</v>
      </c>
      <c r="D12" s="6">
        <f>[1]Results!$X$155</f>
        <v>26.07496802618752</v>
      </c>
      <c r="E12" s="6">
        <f>[1]Results!$AM$155</f>
        <v>50.11780777037783</v>
      </c>
      <c r="F12" s="6">
        <f>[1]Results!$BJ$155</f>
        <v>226</v>
      </c>
      <c r="G12" s="7">
        <v>47.74644988680798</v>
      </c>
      <c r="H12" s="6">
        <v>47.643548055155378</v>
      </c>
      <c r="I12" s="7">
        <v>4.6100020580366445</v>
      </c>
      <c r="J12" s="7">
        <v>26.034163408108661</v>
      </c>
      <c r="K12" s="7">
        <v>3.6987466556904707</v>
      </c>
      <c r="L12" s="7">
        <v>3.2311175138917472</v>
      </c>
      <c r="M12" s="7">
        <v>0.83350483638608763</v>
      </c>
      <c r="N12" s="7">
        <v>4.1160732661041366E-2</v>
      </c>
      <c r="O12" s="7">
        <v>18.517758798106609</v>
      </c>
      <c r="P12" s="7">
        <v>2.925925925925926</v>
      </c>
      <c r="Q12" s="7">
        <v>4.6214285714285719</v>
      </c>
      <c r="R12" s="7">
        <v>3.6993006993006996</v>
      </c>
      <c r="S12" s="7">
        <v>2.5327510917030565</v>
      </c>
      <c r="T12" s="7">
        <v>5.7476635514018692</v>
      </c>
      <c r="U12" s="7">
        <v>19.100000000000001</v>
      </c>
      <c r="V12" s="7">
        <v>16015.333333333334</v>
      </c>
      <c r="W12" s="5">
        <v>1578.9529</v>
      </c>
      <c r="X12" s="5" t="s">
        <v>40</v>
      </c>
      <c r="Y12" s="5">
        <v>2.69</v>
      </c>
      <c r="Z12" s="5">
        <v>1141.49</v>
      </c>
      <c r="AA12" s="5">
        <v>99.788359788359756</v>
      </c>
      <c r="AB12" s="5">
        <v>48.508447601135344</v>
      </c>
    </row>
    <row r="13" spans="1:28">
      <c r="A13" s="5" t="s">
        <v>39</v>
      </c>
      <c r="B13" s="5">
        <v>3</v>
      </c>
      <c r="C13" s="4">
        <v>60</v>
      </c>
      <c r="D13" s="6">
        <f>[1]Results!$X$157</f>
        <v>25.956389299937513</v>
      </c>
      <c r="E13" s="6">
        <f>[1]Results!$AM$157</f>
        <v>49.381596896810002</v>
      </c>
      <c r="F13" s="6">
        <f>[1]Results!$BJ$157</f>
        <v>464</v>
      </c>
      <c r="G13" s="7">
        <v>47.74644988680798</v>
      </c>
      <c r="H13" s="6">
        <v>47.643548055155378</v>
      </c>
      <c r="I13" s="7">
        <v>4.6100020580366445</v>
      </c>
      <c r="J13" s="7">
        <v>26.034163408108661</v>
      </c>
      <c r="K13" s="7">
        <v>3.6987466556904707</v>
      </c>
      <c r="L13" s="7">
        <v>3.2311175138917472</v>
      </c>
      <c r="M13" s="7">
        <v>0.83350483638608763</v>
      </c>
      <c r="N13" s="7">
        <v>4.1160732661041366E-2</v>
      </c>
      <c r="O13" s="7">
        <v>18.517758798106609</v>
      </c>
      <c r="P13" s="7">
        <v>2.925925925925926</v>
      </c>
      <c r="Q13" s="7">
        <v>4.6214285714285719</v>
      </c>
      <c r="R13" s="7">
        <v>3.6993006993006996</v>
      </c>
      <c r="S13" s="7">
        <v>2.5327510917030565</v>
      </c>
      <c r="T13" s="7">
        <v>5.7476635514018692</v>
      </c>
      <c r="U13" s="7">
        <v>18.899999999999999</v>
      </c>
      <c r="V13" s="7">
        <v>16015.333333333334</v>
      </c>
      <c r="W13" s="5">
        <v>1578.9529</v>
      </c>
      <c r="X13" s="5" t="s">
        <v>40</v>
      </c>
      <c r="Y13" s="5">
        <v>2.69</v>
      </c>
      <c r="Z13" s="5">
        <v>1054.72</v>
      </c>
      <c r="AA13" s="5">
        <v>99.896480331262879</v>
      </c>
      <c r="AB13" s="5">
        <v>48.982256139637968</v>
      </c>
    </row>
    <row r="14" spans="1:28">
      <c r="A14" s="5" t="s">
        <v>39</v>
      </c>
      <c r="B14" s="5">
        <v>3</v>
      </c>
      <c r="C14" s="5">
        <v>90</v>
      </c>
      <c r="D14" s="6">
        <f>[1]Results!$X$158</f>
        <v>25.605649924017964</v>
      </c>
      <c r="E14" s="6">
        <f>[1]Results!$AM$158</f>
        <v>48.948557290467214</v>
      </c>
      <c r="F14" s="6">
        <f>[1]Results!$BJ$158</f>
        <v>163.66666666666666</v>
      </c>
      <c r="G14" s="7">
        <v>47.74644988680798</v>
      </c>
      <c r="H14" s="6">
        <v>47.643548055155378</v>
      </c>
      <c r="I14" s="7">
        <v>4.6100020580366445</v>
      </c>
      <c r="J14" s="7">
        <v>26.034163408108661</v>
      </c>
      <c r="K14" s="7">
        <v>3.6987466556904707</v>
      </c>
      <c r="L14" s="7">
        <v>3.2311175138917472</v>
      </c>
      <c r="M14" s="7">
        <v>0.83350483638608763</v>
      </c>
      <c r="N14" s="7">
        <v>4.1160732661041366E-2</v>
      </c>
      <c r="O14" s="7">
        <v>18.517758798106609</v>
      </c>
      <c r="P14" s="7">
        <v>2.925925925925926</v>
      </c>
      <c r="Q14" s="7">
        <v>4.6214285714285719</v>
      </c>
      <c r="R14" s="7">
        <v>3.6993006993006996</v>
      </c>
      <c r="S14" s="7">
        <v>2.5327510917030565</v>
      </c>
      <c r="T14" s="7">
        <v>5.7476635514018692</v>
      </c>
      <c r="U14" s="7">
        <v>20.5</v>
      </c>
      <c r="V14" s="7">
        <v>16015.333333333334</v>
      </c>
      <c r="W14" s="5">
        <v>1578.9529</v>
      </c>
      <c r="X14" s="5" t="s">
        <v>40</v>
      </c>
      <c r="Y14" s="5">
        <v>2.69</v>
      </c>
      <c r="Z14" s="5">
        <v>1122.54</v>
      </c>
      <c r="AA14" s="5">
        <v>95.380715000651151</v>
      </c>
      <c r="AB14" s="5">
        <v>49.489427143406367</v>
      </c>
    </row>
    <row r="15" spans="1:28" ht="13.9" customHeight="1">
      <c r="A15" s="5" t="s">
        <v>41</v>
      </c>
      <c r="B15" s="4">
        <v>1</v>
      </c>
      <c r="C15" s="4">
        <v>60</v>
      </c>
      <c r="D15" s="6">
        <f>[1]Results!$X$159</f>
        <v>26.228667599644325</v>
      </c>
      <c r="E15" s="6">
        <f>[1]Results!$AM$159</f>
        <v>53.548575041983277</v>
      </c>
      <c r="F15" s="6">
        <f>[1]Results!$BJ$159</f>
        <v>218</v>
      </c>
      <c r="G15" s="7">
        <v>52.373660030627867</v>
      </c>
      <c r="H15" s="6">
        <v>43.185298621745787</v>
      </c>
      <c r="I15" s="7">
        <v>4.4410413476263484</v>
      </c>
      <c r="J15" s="7">
        <v>29.402756508422662</v>
      </c>
      <c r="K15" s="7">
        <v>3.9516130678917811</v>
      </c>
      <c r="L15" s="7">
        <v>3.4813680449208779</v>
      </c>
      <c r="M15" s="7">
        <v>1.3782542113323124</v>
      </c>
      <c r="N15" s="7">
        <v>7.1465033180193982E-2</v>
      </c>
      <c r="O15" s="7">
        <v>18.529244512506395</v>
      </c>
      <c r="P15" s="7">
        <v>1.8253968253968256</v>
      </c>
      <c r="Q15" s="7">
        <v>5.7285714285714286</v>
      </c>
      <c r="R15" s="7">
        <v>5.6573426573426575</v>
      </c>
      <c r="S15" s="7">
        <v>3.0829694323144103</v>
      </c>
      <c r="T15" s="7">
        <v>4.6869158878504669</v>
      </c>
      <c r="U15" s="7">
        <v>21</v>
      </c>
      <c r="V15" s="7">
        <v>10469.766666666666</v>
      </c>
      <c r="W15" s="5">
        <v>918.04420000000005</v>
      </c>
      <c r="X15" s="5" t="s">
        <v>42</v>
      </c>
      <c r="Y15" s="5">
        <v>12.88</v>
      </c>
      <c r="Z15" s="5">
        <v>1505.97</v>
      </c>
      <c r="AA15" s="5">
        <v>98.926543751829129</v>
      </c>
      <c r="AB15" s="5">
        <v>53.519458810947818</v>
      </c>
    </row>
    <row r="16" spans="1:28">
      <c r="A16" s="5" t="s">
        <v>41</v>
      </c>
      <c r="B16" s="5">
        <v>1</v>
      </c>
      <c r="C16" s="5">
        <v>90</v>
      </c>
      <c r="D16" s="6">
        <f>[1]Results!$X$160</f>
        <v>26.295320017350321</v>
      </c>
      <c r="E16" s="6">
        <f>[1]Results!$AM$160</f>
        <v>55.635823996039107</v>
      </c>
      <c r="F16" s="6">
        <f>[1]Results!$BJ$160</f>
        <v>237.33333333333334</v>
      </c>
      <c r="G16" s="7">
        <v>52.373660030627867</v>
      </c>
      <c r="H16" s="6">
        <v>43.185298621745787</v>
      </c>
      <c r="I16" s="7">
        <v>4.4410413476263484</v>
      </c>
      <c r="J16" s="7">
        <v>29.402756508422662</v>
      </c>
      <c r="K16" s="7">
        <v>3.9516130678917811</v>
      </c>
      <c r="L16" s="7">
        <v>3.4813680449208779</v>
      </c>
      <c r="M16" s="7">
        <v>1.3782542113323124</v>
      </c>
      <c r="N16" s="7">
        <v>7.1465033180193982E-2</v>
      </c>
      <c r="O16" s="7">
        <v>18.529244512506395</v>
      </c>
      <c r="P16" s="7">
        <v>1.8253968253968256</v>
      </c>
      <c r="Q16" s="7">
        <v>5.7285714285714286</v>
      </c>
      <c r="R16" s="7">
        <v>5.6573426573426575</v>
      </c>
      <c r="S16" s="7">
        <v>3.0829694323144103</v>
      </c>
      <c r="T16" s="7">
        <v>4.6869158878504669</v>
      </c>
      <c r="U16" s="7">
        <v>20.7</v>
      </c>
      <c r="V16" s="7">
        <v>10469.766666666666</v>
      </c>
      <c r="W16" s="5">
        <v>918.04420000000005</v>
      </c>
      <c r="X16" s="5" t="s">
        <v>42</v>
      </c>
      <c r="Y16" s="5">
        <v>12.88</v>
      </c>
      <c r="Z16" s="5">
        <v>1464.89</v>
      </c>
      <c r="AA16" s="5">
        <v>99.819615373425293</v>
      </c>
      <c r="AB16" s="5">
        <v>53.635743865231895</v>
      </c>
    </row>
    <row r="17" spans="1:28">
      <c r="A17" s="5" t="s">
        <v>41</v>
      </c>
      <c r="B17" s="5">
        <v>2</v>
      </c>
      <c r="C17" s="4">
        <v>60</v>
      </c>
      <c r="D17" s="6">
        <f>[1]Results!$X$161</f>
        <v>26.305967672595063</v>
      </c>
      <c r="E17" s="6">
        <f>[1]Results!$AM$161</f>
        <v>54.17713578845197</v>
      </c>
      <c r="F17" s="6">
        <f>[1]Results!$BJ$161</f>
        <v>285.25</v>
      </c>
      <c r="G17" s="7">
        <v>52.373660030627867</v>
      </c>
      <c r="H17" s="6">
        <v>43.185298621745787</v>
      </c>
      <c r="I17" s="7">
        <v>4.4410413476263484</v>
      </c>
      <c r="J17" s="7">
        <v>29.402756508422662</v>
      </c>
      <c r="K17" s="7">
        <v>3.9516130678917811</v>
      </c>
      <c r="L17" s="7">
        <v>3.4813680449208779</v>
      </c>
      <c r="M17" s="7">
        <v>1.3782542113323124</v>
      </c>
      <c r="N17" s="7">
        <v>7.1465033180193982E-2</v>
      </c>
      <c r="O17" s="7">
        <v>18.529244512506395</v>
      </c>
      <c r="P17" s="7">
        <v>1.8253968253968256</v>
      </c>
      <c r="Q17" s="7">
        <v>5.7285714285714286</v>
      </c>
      <c r="R17" s="7">
        <v>5.6573426573426575</v>
      </c>
      <c r="S17" s="7">
        <v>3.0829694323144103</v>
      </c>
      <c r="T17" s="7">
        <v>4.6869158878504669</v>
      </c>
      <c r="U17" s="7">
        <v>24.9</v>
      </c>
      <c r="V17" s="7">
        <v>10469.766666666666</v>
      </c>
      <c r="W17" s="5">
        <v>918.04420000000005</v>
      </c>
      <c r="X17" s="5" t="s">
        <v>42</v>
      </c>
      <c r="Y17" s="5">
        <v>12.88</v>
      </c>
      <c r="Z17" s="5">
        <v>654.32000000000005</v>
      </c>
      <c r="AA17" s="5">
        <v>99.90253411306044</v>
      </c>
      <c r="AB17" s="5">
        <v>52.221779306694167</v>
      </c>
    </row>
    <row r="18" spans="1:28">
      <c r="A18" s="5" t="s">
        <v>41</v>
      </c>
      <c r="B18" s="5">
        <v>2</v>
      </c>
      <c r="C18" s="5">
        <v>90</v>
      </c>
      <c r="D18" s="6">
        <f>[1]Results!$X$162</f>
        <v>26.21040719019312</v>
      </c>
      <c r="E18" s="6">
        <f>[1]Results!$AM$162</f>
        <v>54.776732828162039</v>
      </c>
      <c r="F18" s="6">
        <f>[1]Results!$BJ$162</f>
        <v>262.33333333333331</v>
      </c>
      <c r="G18" s="7">
        <v>52.373660030627867</v>
      </c>
      <c r="H18" s="6">
        <v>43.185298621745787</v>
      </c>
      <c r="I18" s="7">
        <v>4.4410413476263484</v>
      </c>
      <c r="J18" s="7">
        <v>29.402756508422662</v>
      </c>
      <c r="K18" s="7">
        <v>3.9516130678917811</v>
      </c>
      <c r="L18" s="7">
        <v>3.4813680449208779</v>
      </c>
      <c r="M18" s="7">
        <v>1.3782542113323124</v>
      </c>
      <c r="N18" s="7">
        <v>7.1465033180193982E-2</v>
      </c>
      <c r="O18" s="7">
        <v>18.529244512506395</v>
      </c>
      <c r="P18" s="7">
        <v>1.8253968253968256</v>
      </c>
      <c r="Q18" s="7">
        <v>5.7285714285714286</v>
      </c>
      <c r="R18" s="7">
        <v>5.6573426573426575</v>
      </c>
      <c r="S18" s="7">
        <v>3.0829694323144103</v>
      </c>
      <c r="T18" s="7">
        <v>4.6869158878504669</v>
      </c>
      <c r="U18" s="7">
        <v>22.7</v>
      </c>
      <c r="V18" s="7">
        <v>10469.766666666666</v>
      </c>
      <c r="W18" s="5">
        <v>918.04420000000005</v>
      </c>
      <c r="X18" s="5" t="s">
        <v>42</v>
      </c>
      <c r="Y18" s="5">
        <v>12.88</v>
      </c>
      <c r="Z18" s="5">
        <v>635.29</v>
      </c>
      <c r="AA18" s="5">
        <v>99.881796690307283</v>
      </c>
      <c r="AB18" s="5">
        <v>51.125847994763994</v>
      </c>
    </row>
    <row r="19" spans="1:28">
      <c r="A19" s="5" t="s">
        <v>41</v>
      </c>
      <c r="B19" s="5">
        <v>3</v>
      </c>
      <c r="C19" s="4">
        <v>60</v>
      </c>
      <c r="D19" s="6">
        <f>[1]Results!$X$163</f>
        <v>25.956489726269425</v>
      </c>
      <c r="E19" s="6">
        <f>[1]Results!$AM$163</f>
        <v>56.100146198830402</v>
      </c>
      <c r="F19" s="6">
        <f>[1]Results!$BJ$163</f>
        <v>267</v>
      </c>
      <c r="G19" s="7">
        <v>52.373660030627867</v>
      </c>
      <c r="H19" s="6">
        <v>43.185298621745787</v>
      </c>
      <c r="I19" s="7">
        <v>4.4410413476263484</v>
      </c>
      <c r="J19" s="7">
        <v>29.402756508422662</v>
      </c>
      <c r="K19" s="7">
        <v>3.9516130678917811</v>
      </c>
      <c r="L19" s="7">
        <v>3.4813680449208779</v>
      </c>
      <c r="M19" s="7">
        <v>1.3782542113323124</v>
      </c>
      <c r="N19" s="7">
        <v>7.1465033180193982E-2</v>
      </c>
      <c r="O19" s="7">
        <v>18.529244512506395</v>
      </c>
      <c r="P19" s="7">
        <v>1.8253968253968256</v>
      </c>
      <c r="Q19" s="7">
        <v>5.7285714285714286</v>
      </c>
      <c r="R19" s="7">
        <v>5.6573426573426575</v>
      </c>
      <c r="S19" s="7">
        <v>3.0829694323144103</v>
      </c>
      <c r="T19" s="7">
        <v>4.6869158878504669</v>
      </c>
      <c r="U19" s="7">
        <v>22.8</v>
      </c>
      <c r="V19" s="7">
        <v>10469.766666666666</v>
      </c>
      <c r="W19" s="5">
        <v>918.04420000000005</v>
      </c>
      <c r="X19" s="5" t="s">
        <v>42</v>
      </c>
      <c r="Y19" s="5">
        <v>12.88</v>
      </c>
      <c r="Z19" s="5">
        <v>904.15</v>
      </c>
      <c r="AA19" s="5">
        <v>99.843066879357252</v>
      </c>
      <c r="AB19" s="5">
        <v>53.060930036004557</v>
      </c>
    </row>
    <row r="20" spans="1:28">
      <c r="A20" s="5" t="s">
        <v>41</v>
      </c>
      <c r="B20" s="5">
        <v>3</v>
      </c>
      <c r="C20" s="5">
        <v>90</v>
      </c>
      <c r="D20" s="6">
        <f>[1]Results!$X$164</f>
        <v>26.16780222616406</v>
      </c>
      <c r="E20" s="6">
        <f>[1]Results!$AM$164</f>
        <v>53.991319452811183</v>
      </c>
      <c r="F20" s="6">
        <f>[1]Results!$BJ$164</f>
        <v>263.5</v>
      </c>
      <c r="G20" s="7">
        <v>52.373660030627867</v>
      </c>
      <c r="H20" s="6">
        <v>43.185298621745787</v>
      </c>
      <c r="I20" s="7">
        <v>4.4410413476263484</v>
      </c>
      <c r="J20" s="7">
        <v>29.402756508422662</v>
      </c>
      <c r="K20" s="7">
        <v>3.9516130678917811</v>
      </c>
      <c r="L20" s="7">
        <v>3.4813680449208779</v>
      </c>
      <c r="M20" s="7">
        <v>1.3782542113323124</v>
      </c>
      <c r="N20" s="7">
        <v>7.1465033180193982E-2</v>
      </c>
      <c r="O20" s="7">
        <v>18.529244512506395</v>
      </c>
      <c r="P20" s="7">
        <v>1.8253968253968256</v>
      </c>
      <c r="Q20" s="7">
        <v>5.7285714285714286</v>
      </c>
      <c r="R20" s="7">
        <v>5.6573426573426575</v>
      </c>
      <c r="S20" s="7">
        <v>3.0829694323144103</v>
      </c>
      <c r="T20" s="7">
        <v>4.6869158878504669</v>
      </c>
      <c r="U20" s="7">
        <v>24.4</v>
      </c>
      <c r="V20" s="7">
        <v>10469.766666666666</v>
      </c>
      <c r="W20" s="5">
        <v>918.04420000000005</v>
      </c>
      <c r="X20" s="5" t="s">
        <v>42</v>
      </c>
      <c r="Y20" s="5">
        <v>12.88</v>
      </c>
      <c r="Z20" s="5">
        <v>570.63</v>
      </c>
      <c r="AA20" s="5">
        <v>100</v>
      </c>
      <c r="AB20" s="5">
        <v>52.560487521250501</v>
      </c>
    </row>
    <row r="21" spans="1:28" ht="13.9" customHeight="1">
      <c r="A21" s="5" t="s">
        <v>43</v>
      </c>
      <c r="B21" s="4">
        <v>1</v>
      </c>
      <c r="C21" s="4">
        <v>60</v>
      </c>
      <c r="D21" s="6">
        <f>[1]Results!$X$165</f>
        <v>27.048190705223565</v>
      </c>
      <c r="E21" s="6">
        <f>[1]Results!$AM$165</f>
        <v>75.781313919352641</v>
      </c>
      <c r="F21" s="6">
        <f>[1]Results!$BJ$165</f>
        <v>169</v>
      </c>
      <c r="G21" s="7">
        <v>59.791496320523301</v>
      </c>
      <c r="H21" s="6">
        <v>24.836467702371216</v>
      </c>
      <c r="I21" s="7">
        <v>15.37203597710548</v>
      </c>
      <c r="J21" s="7">
        <v>41.700735895339321</v>
      </c>
      <c r="K21" s="7">
        <v>5.1495257563368764</v>
      </c>
      <c r="L21" s="7">
        <v>4.1598528209321337</v>
      </c>
      <c r="M21" s="7">
        <v>0.72567457072771868</v>
      </c>
      <c r="N21" s="7">
        <v>6.1324611610793132E-2</v>
      </c>
      <c r="O21" s="7">
        <v>23.366418642681946</v>
      </c>
      <c r="P21" s="7">
        <v>2.1375661375661377</v>
      </c>
      <c r="Q21" s="7">
        <v>2.7571428571428571</v>
      </c>
      <c r="R21" s="7">
        <v>0.88811188811188813</v>
      </c>
      <c r="S21" s="7">
        <v>2.4192139737991267</v>
      </c>
      <c r="T21" s="7">
        <v>2.3364485981308412</v>
      </c>
      <c r="U21" s="7">
        <v>42.1</v>
      </c>
      <c r="V21" s="7">
        <v>4730.1000000000004</v>
      </c>
      <c r="W21" s="5">
        <v>468.79230000000001</v>
      </c>
      <c r="X21" s="5" t="s">
        <v>44</v>
      </c>
      <c r="Y21" s="5">
        <v>18.059999999999999</v>
      </c>
      <c r="Z21" s="5">
        <v>2372.9899999999998</v>
      </c>
      <c r="AA21" s="5">
        <v>100</v>
      </c>
      <c r="AB21" s="5">
        <v>73.537079345555227</v>
      </c>
    </row>
    <row r="22" spans="1:28">
      <c r="A22" s="5" t="s">
        <v>43</v>
      </c>
      <c r="B22" s="5">
        <v>1</v>
      </c>
      <c r="C22" s="5">
        <v>90</v>
      </c>
      <c r="D22" s="6">
        <f>[1]Results!$X$166</f>
        <v>27.058169851408508</v>
      </c>
      <c r="E22" s="6">
        <f>[1]Results!$AM$166</f>
        <v>76.319997040790113</v>
      </c>
      <c r="F22" s="6">
        <f>[1]Results!$BJ$166</f>
        <v>171.33333333333334</v>
      </c>
      <c r="G22" s="7">
        <v>59.791496320523301</v>
      </c>
      <c r="H22" s="6">
        <v>24.836467702371216</v>
      </c>
      <c r="I22" s="7">
        <v>15.37203597710548</v>
      </c>
      <c r="J22" s="7">
        <v>41.700735895339321</v>
      </c>
      <c r="K22" s="7">
        <v>5.1495257563368764</v>
      </c>
      <c r="L22" s="7">
        <v>4.1598528209321337</v>
      </c>
      <c r="M22" s="7">
        <v>0.72567457072771868</v>
      </c>
      <c r="N22" s="7">
        <v>6.1324611610793132E-2</v>
      </c>
      <c r="O22" s="7">
        <v>23.366418642681946</v>
      </c>
      <c r="P22" s="7">
        <v>2.1375661375661377</v>
      </c>
      <c r="Q22" s="7">
        <v>2.7571428571428571</v>
      </c>
      <c r="R22" s="7">
        <v>0.88811188811188813</v>
      </c>
      <c r="S22" s="7">
        <v>2.4192139737991267</v>
      </c>
      <c r="T22" s="7">
        <v>2.3364485981308412</v>
      </c>
      <c r="U22" s="7">
        <v>42.7</v>
      </c>
      <c r="V22" s="7">
        <v>4730.1000000000004</v>
      </c>
      <c r="W22" s="5">
        <v>468.79230000000001</v>
      </c>
      <c r="X22" s="5" t="s">
        <v>44</v>
      </c>
      <c r="Y22" s="5">
        <v>18.059999999999999</v>
      </c>
      <c r="Z22" s="5">
        <v>2377.1999999999998</v>
      </c>
      <c r="AA22" s="5">
        <v>100.07824726134584</v>
      </c>
      <c r="AB22" s="5">
        <v>73.214997640643688</v>
      </c>
    </row>
    <row r="23" spans="1:28">
      <c r="A23" s="5" t="s">
        <v>43</v>
      </c>
      <c r="B23" s="5">
        <v>2</v>
      </c>
      <c r="C23" s="4">
        <v>60</v>
      </c>
      <c r="D23" s="6">
        <f>[1]Results!$X$167</f>
        <v>26.558211763598219</v>
      </c>
      <c r="E23" s="6">
        <f>[1]Results!$AM$167</f>
        <v>75.488410575941018</v>
      </c>
      <c r="F23" s="6">
        <f>[1]Results!$BJ$167</f>
        <v>169.25</v>
      </c>
      <c r="G23" s="7">
        <v>59.791496320523301</v>
      </c>
      <c r="H23" s="6">
        <v>24.836467702371216</v>
      </c>
      <c r="I23" s="7">
        <v>15.37203597710548</v>
      </c>
      <c r="J23" s="7">
        <v>41.700735895339321</v>
      </c>
      <c r="K23" s="7">
        <v>5.1495257563368764</v>
      </c>
      <c r="L23" s="7">
        <v>4.1598528209321337</v>
      </c>
      <c r="M23" s="7">
        <v>0.72567457072771868</v>
      </c>
      <c r="N23" s="7">
        <v>6.1324611610793132E-2</v>
      </c>
      <c r="O23" s="7">
        <v>23.366418642681946</v>
      </c>
      <c r="P23" s="7">
        <v>2.1375661375661377</v>
      </c>
      <c r="Q23" s="7">
        <v>2.7571428571428571</v>
      </c>
      <c r="R23" s="7">
        <v>0.88811188811188813</v>
      </c>
      <c r="S23" s="7">
        <v>2.4192139737991267</v>
      </c>
      <c r="T23" s="7">
        <v>2.3364485981308412</v>
      </c>
      <c r="U23" s="7">
        <v>43.1</v>
      </c>
      <c r="V23" s="7">
        <v>4730.1000000000004</v>
      </c>
      <c r="W23" s="5">
        <v>468.79230000000001</v>
      </c>
      <c r="X23" s="5" t="s">
        <v>44</v>
      </c>
      <c r="Y23" s="5">
        <v>18.059999999999999</v>
      </c>
      <c r="Z23" s="5">
        <v>2318.0300000000002</v>
      </c>
      <c r="AA23" s="5">
        <v>100</v>
      </c>
      <c r="AB23" s="5">
        <v>73.873465250818043</v>
      </c>
    </row>
    <row r="24" spans="1:28">
      <c r="A24" s="5" t="s">
        <v>43</v>
      </c>
      <c r="B24" s="5">
        <v>2</v>
      </c>
      <c r="C24" s="5">
        <v>90</v>
      </c>
      <c r="D24" s="6">
        <f>[1]Results!$X$168</f>
        <v>26.973340860473993</v>
      </c>
      <c r="E24" s="6">
        <f>[1]Results!$AM$168</f>
        <v>76.229039482512789</v>
      </c>
      <c r="F24" s="6">
        <f>[1]Results!$BJ$168</f>
        <v>174.66666666666666</v>
      </c>
      <c r="G24" s="7">
        <v>59.791496320523301</v>
      </c>
      <c r="H24" s="6">
        <v>24.836467702371216</v>
      </c>
      <c r="I24" s="7">
        <v>15.37203597710548</v>
      </c>
      <c r="J24" s="7">
        <v>41.700735895339321</v>
      </c>
      <c r="K24" s="7">
        <v>5.1495257563368764</v>
      </c>
      <c r="L24" s="7">
        <v>4.1598528209321337</v>
      </c>
      <c r="M24" s="7">
        <v>0.72567457072771868</v>
      </c>
      <c r="N24" s="7">
        <v>6.1324611610793132E-2</v>
      </c>
      <c r="O24" s="7">
        <v>23.366418642681946</v>
      </c>
      <c r="P24" s="7">
        <v>2.1375661375661377</v>
      </c>
      <c r="Q24" s="7">
        <v>2.7571428571428571</v>
      </c>
      <c r="R24" s="7">
        <v>0.88811188811188813</v>
      </c>
      <c r="S24" s="7">
        <v>2.4192139737991267</v>
      </c>
      <c r="T24" s="7">
        <v>2.3364485981308412</v>
      </c>
      <c r="U24" s="7">
        <v>45</v>
      </c>
      <c r="V24" s="7">
        <v>4730.1000000000004</v>
      </c>
      <c r="W24" s="5">
        <v>468.79230000000001</v>
      </c>
      <c r="X24" s="5" t="s">
        <v>44</v>
      </c>
      <c r="Y24" s="5">
        <v>18.059999999999999</v>
      </c>
      <c r="Z24" s="5">
        <v>2378.41</v>
      </c>
      <c r="AA24" s="5">
        <v>100</v>
      </c>
      <c r="AB24" s="5">
        <v>72.991719119682116</v>
      </c>
    </row>
    <row r="25" spans="1:28">
      <c r="A25" s="5" t="s">
        <v>43</v>
      </c>
      <c r="B25" s="5">
        <v>3</v>
      </c>
      <c r="C25" s="4">
        <v>60</v>
      </c>
      <c r="D25" s="6">
        <f>[1]Results!$X$169</f>
        <v>25.481253357049809</v>
      </c>
      <c r="E25" s="6">
        <f>[1]Results!$AM$169</f>
        <v>74.919088980621439</v>
      </c>
      <c r="F25" s="6">
        <f>[1]Results!$BJ$169</f>
        <v>146.25</v>
      </c>
      <c r="G25" s="7">
        <v>59.791496320523301</v>
      </c>
      <c r="H25" s="6">
        <v>24.836467702371216</v>
      </c>
      <c r="I25" s="7">
        <v>15.37203597710548</v>
      </c>
      <c r="J25" s="7">
        <v>41.700735895339321</v>
      </c>
      <c r="K25" s="7">
        <v>5.1495257563368764</v>
      </c>
      <c r="L25" s="7">
        <v>4.1598528209321337</v>
      </c>
      <c r="M25" s="7">
        <v>0.72567457072771868</v>
      </c>
      <c r="N25" s="7">
        <v>6.1324611610793132E-2</v>
      </c>
      <c r="O25" s="7">
        <v>23.366418642681946</v>
      </c>
      <c r="P25" s="7">
        <v>2.1375661375661377</v>
      </c>
      <c r="Q25" s="7">
        <v>2.7571428571428571</v>
      </c>
      <c r="R25" s="7">
        <v>0.88811188811188813</v>
      </c>
      <c r="S25" s="7">
        <v>2.4192139737991267</v>
      </c>
      <c r="T25" s="7">
        <v>2.3364485981308412</v>
      </c>
      <c r="U25" s="7">
        <v>46.4</v>
      </c>
      <c r="V25" s="7">
        <v>4730.1000000000004</v>
      </c>
      <c r="W25" s="5">
        <v>468.79230000000001</v>
      </c>
      <c r="X25" s="5" t="s">
        <v>44</v>
      </c>
      <c r="Y25" s="5">
        <v>18.059999999999999</v>
      </c>
      <c r="Z25" s="5">
        <v>2016.21</v>
      </c>
      <c r="AA25" s="5">
        <v>99.794776590639344</v>
      </c>
      <c r="AB25" s="5">
        <v>68.519636420658031</v>
      </c>
    </row>
    <row r="26" spans="1:28">
      <c r="A26" s="5" t="s">
        <v>43</v>
      </c>
      <c r="B26" s="5">
        <v>3</v>
      </c>
      <c r="C26" s="5">
        <v>90</v>
      </c>
      <c r="D26" s="6">
        <f>[1]Results!$X$170</f>
        <v>25.587971467825156</v>
      </c>
      <c r="E26" s="6">
        <f>[1]Results!$AM$170</f>
        <v>75.03515307566586</v>
      </c>
      <c r="F26" s="6">
        <f>[1]Results!$BJ$170</f>
        <v>160.25</v>
      </c>
      <c r="G26" s="7">
        <v>59.791496320523301</v>
      </c>
      <c r="H26" s="6">
        <v>24.836467702371216</v>
      </c>
      <c r="I26" s="7">
        <v>15.37203597710548</v>
      </c>
      <c r="J26" s="7">
        <v>41.700735895339321</v>
      </c>
      <c r="K26" s="7">
        <v>5.1495257563368764</v>
      </c>
      <c r="L26" s="7">
        <v>4.1598528209321337</v>
      </c>
      <c r="M26" s="7">
        <v>0.72567457072771868</v>
      </c>
      <c r="N26" s="7">
        <v>6.1324611610793132E-2</v>
      </c>
      <c r="O26" s="7">
        <v>23.366418642681946</v>
      </c>
      <c r="P26" s="7">
        <v>2.1375661375661377</v>
      </c>
      <c r="Q26" s="7">
        <v>2.7571428571428571</v>
      </c>
      <c r="R26" s="7">
        <v>0.88811188811188813</v>
      </c>
      <c r="S26" s="7">
        <v>2.4192139737991267</v>
      </c>
      <c r="T26" s="7">
        <v>2.3364485981308412</v>
      </c>
      <c r="U26" s="7">
        <v>44.7</v>
      </c>
      <c r="V26" s="7">
        <v>4730.1000000000004</v>
      </c>
      <c r="W26" s="5">
        <v>468.79230000000001</v>
      </c>
      <c r="X26" s="5" t="s">
        <v>44</v>
      </c>
      <c r="Y26" s="5">
        <v>18.059999999999999</v>
      </c>
      <c r="Z26" s="5">
        <v>2064.4499999999998</v>
      </c>
      <c r="AA26" s="5">
        <v>100</v>
      </c>
      <c r="AB26" s="5">
        <v>69.368798104781817</v>
      </c>
    </row>
    <row r="27" spans="1:28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Ayumi Schober</dc:creator>
  <cp:keywords/>
  <dc:description/>
  <cp:lastModifiedBy>Ayumi Schober</cp:lastModifiedBy>
  <cp:revision/>
  <dcterms:created xsi:type="dcterms:W3CDTF">2026-03-29T12:27:19Z</dcterms:created>
  <dcterms:modified xsi:type="dcterms:W3CDTF">2026-06-10T09:24:30Z</dcterms:modified>
  <cp:category/>
  <cp:contentStatus/>
</cp:coreProperties>
</file>